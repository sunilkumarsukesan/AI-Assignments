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I_ML\Python projects\AI Assignments\Practise\01 Machine Learning\05 Decision Tree\"/>
    </mc:Choice>
  </mc:AlternateContent>
  <xr:revisionPtr revIDLastSave="0" documentId="8_{2F05FF2C-D88B-4FF4-8BA6-D50AF5B4C57C}" xr6:coauthVersionLast="47" xr6:coauthVersionMax="47" xr10:uidLastSave="{00000000-0000-0000-0000-000000000000}"/>
  <bookViews>
    <workbookView xWindow="-120" yWindow="-120" windowWidth="29040" windowHeight="15720" xr2:uid="{405A3C09-005F-49DF-A76B-C72E47B667CD}"/>
  </bookViews>
  <sheets>
    <sheet name="decisiontree" sheetId="1" r:id="rId1"/>
    <sheet name="Sheet2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2" l="1"/>
  <c r="L26" i="2"/>
  <c r="J27" i="2"/>
  <c r="J26" i="2"/>
  <c r="I27" i="2"/>
  <c r="I26" i="2"/>
  <c r="J21" i="2"/>
  <c r="J20" i="2"/>
  <c r="I21" i="2"/>
  <c r="I20" i="2"/>
  <c r="J13" i="2"/>
  <c r="J14" i="2"/>
  <c r="J12" i="2"/>
  <c r="I13" i="2"/>
  <c r="I14" i="2"/>
  <c r="I12" i="2"/>
  <c r="L12" i="2" s="1"/>
  <c r="J6" i="2"/>
  <c r="J5" i="2"/>
  <c r="I6" i="2"/>
  <c r="I5" i="2"/>
  <c r="I4" i="2"/>
  <c r="G32" i="2"/>
  <c r="G31" i="2"/>
  <c r="L20" i="2" l="1"/>
  <c r="L21" i="2"/>
  <c r="L14" i="2"/>
  <c r="L13" i="2"/>
  <c r="G34" i="2"/>
  <c r="E40" i="2" s="1"/>
  <c r="L5" i="2"/>
  <c r="L6" i="2"/>
  <c r="E39" i="2" l="1"/>
  <c r="E38" i="2"/>
  <c r="E37" i="2"/>
</calcChain>
</file>

<file path=xl/sharedStrings.xml><?xml version="1.0" encoding="utf-8"?>
<sst xmlns="http://schemas.openxmlformats.org/spreadsheetml/2006/main" count="140" uniqueCount="43">
  <si>
    <t>Day</t>
  </si>
  <si>
    <t>Weather</t>
  </si>
  <si>
    <t>Wind</t>
  </si>
  <si>
    <t>Play</t>
  </si>
  <si>
    <t>Sunny</t>
  </si>
  <si>
    <t>Hot</t>
  </si>
  <si>
    <t>High</t>
  </si>
  <si>
    <t>Weak</t>
  </si>
  <si>
    <t>No</t>
  </si>
  <si>
    <t>Strong</t>
  </si>
  <si>
    <t>Cloudy</t>
  </si>
  <si>
    <t>Yes</t>
  </si>
  <si>
    <t>Mild</t>
  </si>
  <si>
    <t>Cool</t>
  </si>
  <si>
    <t>Normal</t>
  </si>
  <si>
    <t>Rain</t>
  </si>
  <si>
    <t>Humidity</t>
  </si>
  <si>
    <t>Temperat</t>
  </si>
  <si>
    <t>Row Labels</t>
  </si>
  <si>
    <t>Grand Total</t>
  </si>
  <si>
    <t>Count of Play</t>
  </si>
  <si>
    <t>Column Labels</t>
  </si>
  <si>
    <t>Total Yes</t>
  </si>
  <si>
    <t>Total No</t>
  </si>
  <si>
    <t>S(+9,-5)</t>
  </si>
  <si>
    <t>Probality Yes</t>
  </si>
  <si>
    <t>Probablity no</t>
  </si>
  <si>
    <t>Entropy</t>
  </si>
  <si>
    <t>S(4,0)</t>
  </si>
  <si>
    <t>S(+3,-2)</t>
  </si>
  <si>
    <t>S(+2,-3)</t>
  </si>
  <si>
    <t>IG Gain of Weather</t>
  </si>
  <si>
    <t>S(+3,-1)</t>
  </si>
  <si>
    <t>S(+2,-2)</t>
  </si>
  <si>
    <t>S(+4,-2)</t>
  </si>
  <si>
    <t>IG Gain of Temperature</t>
  </si>
  <si>
    <t>S(+3,-4)</t>
  </si>
  <si>
    <t>S(+6,-1)</t>
  </si>
  <si>
    <t>IG Gain of Huminity</t>
  </si>
  <si>
    <t>Temperature</t>
  </si>
  <si>
    <t>S(+3,-3)</t>
  </si>
  <si>
    <t>S(+6,-2)</t>
  </si>
  <si>
    <t>IG Gain of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</si>
</sst>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0" borderId="2" xfId="0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ecisiontre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il Kumar Sukesan" refreshedDate="46046.784100925928" createdVersion="8" refreshedVersion="8" minRefreshableVersion="3" recordCount="14" xr:uid="{E3F68709-356F-4D3F-A847-9E25C1EFA5CE}">
  <cacheSource type="worksheet">
    <worksheetSource ref="A1:F15" sheet="decisiontree" r:id="rId2"/>
  </cacheSource>
  <cacheFields count="6">
    <cacheField name="Day" numFmtId="0">
      <sharedItems containsSemiMixedTypes="0" containsString="0" containsNumber="1" containsInteger="1" minValue="1" maxValue="14"/>
    </cacheField>
    <cacheField name="Weather" numFmtId="0">
      <sharedItems count="3">
        <s v="Sunny"/>
        <s v="Cloudy"/>
        <s v="Rain"/>
      </sharedItems>
    </cacheField>
    <cacheField name="Temperat" numFmtId="0">
      <sharedItems count="3">
        <s v="Hot"/>
        <s v="Mild"/>
        <s v="Cool"/>
      </sharedItems>
    </cacheField>
    <cacheField name="Humidity" numFmtId="0">
      <sharedItems count="2">
        <s v="High"/>
        <s v="Normal"/>
      </sharedItems>
    </cacheField>
    <cacheField name="Wind" numFmtId="0">
      <sharedItems count="2">
        <s v="Weak"/>
        <s v="Strong"/>
      </sharedItems>
    </cacheField>
    <cacheField name="Play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"/>
    <x v="0"/>
    <x v="0"/>
    <x v="0"/>
    <x v="0"/>
    <x v="0"/>
  </r>
  <r>
    <n v="2"/>
    <x v="0"/>
    <x v="0"/>
    <x v="0"/>
    <x v="1"/>
    <x v="0"/>
  </r>
  <r>
    <n v="3"/>
    <x v="1"/>
    <x v="0"/>
    <x v="0"/>
    <x v="0"/>
    <x v="1"/>
  </r>
  <r>
    <n v="4"/>
    <x v="2"/>
    <x v="1"/>
    <x v="0"/>
    <x v="0"/>
    <x v="1"/>
  </r>
  <r>
    <n v="5"/>
    <x v="2"/>
    <x v="2"/>
    <x v="1"/>
    <x v="0"/>
    <x v="1"/>
  </r>
  <r>
    <n v="6"/>
    <x v="2"/>
    <x v="2"/>
    <x v="1"/>
    <x v="1"/>
    <x v="0"/>
  </r>
  <r>
    <n v="7"/>
    <x v="1"/>
    <x v="2"/>
    <x v="1"/>
    <x v="1"/>
    <x v="1"/>
  </r>
  <r>
    <n v="8"/>
    <x v="0"/>
    <x v="1"/>
    <x v="0"/>
    <x v="0"/>
    <x v="0"/>
  </r>
  <r>
    <n v="9"/>
    <x v="0"/>
    <x v="2"/>
    <x v="1"/>
    <x v="0"/>
    <x v="1"/>
  </r>
  <r>
    <n v="10"/>
    <x v="2"/>
    <x v="1"/>
    <x v="1"/>
    <x v="0"/>
    <x v="1"/>
  </r>
  <r>
    <n v="11"/>
    <x v="0"/>
    <x v="1"/>
    <x v="1"/>
    <x v="1"/>
    <x v="1"/>
  </r>
  <r>
    <n v="12"/>
    <x v="1"/>
    <x v="1"/>
    <x v="0"/>
    <x v="1"/>
    <x v="1"/>
  </r>
  <r>
    <n v="13"/>
    <x v="1"/>
    <x v="0"/>
    <x v="1"/>
    <x v="0"/>
    <x v="1"/>
  </r>
  <r>
    <n v="14"/>
    <x v="2"/>
    <x v="1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EBC63-F05D-4083-8D35-B7003A1EDDC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D22" firstHeaderRow="1" firstDataRow="2" firstDataCol="1"/>
  <pivotFields count="6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Pla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8928-16D1-4EC7-ACEF-B682E465BF69}">
  <dimension ref="A1:F22"/>
  <sheetViews>
    <sheetView tabSelected="1" workbookViewId="0">
      <selection activeCell="J12" sqref="J12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2.5703125" customWidth="1"/>
    <col min="4" max="4" width="11.28515625" bestFit="1" customWidth="1"/>
  </cols>
  <sheetData>
    <row r="1" spans="1:6" ht="29.25" thickBot="1" x14ac:dyDescent="0.3">
      <c r="A1" s="1" t="s">
        <v>0</v>
      </c>
      <c r="B1" s="1" t="s">
        <v>1</v>
      </c>
      <c r="C1" s="1" t="s">
        <v>17</v>
      </c>
      <c r="D1" s="1" t="s">
        <v>16</v>
      </c>
      <c r="E1" s="1" t="s">
        <v>2</v>
      </c>
      <c r="F1" s="1" t="s">
        <v>3</v>
      </c>
    </row>
    <row r="2" spans="1:6" ht="15.75" thickBot="1" x14ac:dyDescent="0.3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ht="15.75" thickBot="1" x14ac:dyDescent="0.3">
      <c r="A3" s="1">
        <v>2</v>
      </c>
      <c r="B3" s="1" t="s">
        <v>4</v>
      </c>
      <c r="C3" s="1" t="s">
        <v>5</v>
      </c>
      <c r="D3" s="1" t="s">
        <v>6</v>
      </c>
      <c r="E3" s="1" t="s">
        <v>9</v>
      </c>
      <c r="F3" s="1" t="s">
        <v>8</v>
      </c>
    </row>
    <row r="4" spans="1:6" ht="15.75" thickBot="1" x14ac:dyDescent="0.3">
      <c r="A4" s="1">
        <v>3</v>
      </c>
      <c r="B4" s="1" t="s">
        <v>10</v>
      </c>
      <c r="C4" s="1" t="s">
        <v>5</v>
      </c>
      <c r="D4" s="1" t="s">
        <v>6</v>
      </c>
      <c r="E4" s="1" t="s">
        <v>7</v>
      </c>
      <c r="F4" s="1" t="s">
        <v>11</v>
      </c>
    </row>
    <row r="5" spans="1:6" ht="15.75" thickBot="1" x14ac:dyDescent="0.3">
      <c r="A5" s="1">
        <v>4</v>
      </c>
      <c r="B5" s="1" t="s">
        <v>15</v>
      </c>
      <c r="C5" s="1" t="s">
        <v>12</v>
      </c>
      <c r="D5" s="1" t="s">
        <v>6</v>
      </c>
      <c r="E5" s="1" t="s">
        <v>7</v>
      </c>
      <c r="F5" s="1" t="s">
        <v>11</v>
      </c>
    </row>
    <row r="6" spans="1:6" ht="15.75" thickBot="1" x14ac:dyDescent="0.3">
      <c r="A6" s="1">
        <v>5</v>
      </c>
      <c r="B6" s="1" t="s">
        <v>15</v>
      </c>
      <c r="C6" s="1" t="s">
        <v>13</v>
      </c>
      <c r="D6" s="1" t="s">
        <v>14</v>
      </c>
      <c r="E6" s="1" t="s">
        <v>7</v>
      </c>
      <c r="F6" s="1" t="s">
        <v>11</v>
      </c>
    </row>
    <row r="7" spans="1:6" ht="15.75" thickBot="1" x14ac:dyDescent="0.3">
      <c r="A7" s="1">
        <v>6</v>
      </c>
      <c r="B7" s="1" t="s">
        <v>15</v>
      </c>
      <c r="C7" s="1" t="s">
        <v>13</v>
      </c>
      <c r="D7" s="1" t="s">
        <v>14</v>
      </c>
      <c r="E7" s="1" t="s">
        <v>9</v>
      </c>
      <c r="F7" s="1" t="s">
        <v>8</v>
      </c>
    </row>
    <row r="8" spans="1:6" ht="15.75" thickBot="1" x14ac:dyDescent="0.3">
      <c r="A8" s="1">
        <v>7</v>
      </c>
      <c r="B8" s="1" t="s">
        <v>10</v>
      </c>
      <c r="C8" s="1" t="s">
        <v>13</v>
      </c>
      <c r="D8" s="1" t="s">
        <v>14</v>
      </c>
      <c r="E8" s="1" t="s">
        <v>9</v>
      </c>
      <c r="F8" s="1" t="s">
        <v>11</v>
      </c>
    </row>
    <row r="9" spans="1:6" ht="15.75" thickBot="1" x14ac:dyDescent="0.3">
      <c r="A9" s="1">
        <v>8</v>
      </c>
      <c r="B9" s="1" t="s">
        <v>4</v>
      </c>
      <c r="C9" s="1" t="s">
        <v>12</v>
      </c>
      <c r="D9" s="1" t="s">
        <v>6</v>
      </c>
      <c r="E9" s="1" t="s">
        <v>7</v>
      </c>
      <c r="F9" s="1" t="s">
        <v>8</v>
      </c>
    </row>
    <row r="10" spans="1:6" ht="15.75" thickBot="1" x14ac:dyDescent="0.3">
      <c r="A10" s="1">
        <v>9</v>
      </c>
      <c r="B10" s="1" t="s">
        <v>4</v>
      </c>
      <c r="C10" s="1" t="s">
        <v>13</v>
      </c>
      <c r="D10" s="1" t="s">
        <v>14</v>
      </c>
      <c r="E10" s="1" t="s">
        <v>7</v>
      </c>
      <c r="F10" s="1" t="s">
        <v>11</v>
      </c>
    </row>
    <row r="11" spans="1:6" ht="15.75" thickBot="1" x14ac:dyDescent="0.3">
      <c r="A11" s="1">
        <v>10</v>
      </c>
      <c r="B11" s="1" t="s">
        <v>15</v>
      </c>
      <c r="C11" s="1" t="s">
        <v>12</v>
      </c>
      <c r="D11" s="1" t="s">
        <v>14</v>
      </c>
      <c r="E11" s="1" t="s">
        <v>7</v>
      </c>
      <c r="F11" s="1" t="s">
        <v>11</v>
      </c>
    </row>
    <row r="12" spans="1:6" ht="15.75" thickBot="1" x14ac:dyDescent="0.3">
      <c r="A12" s="1">
        <v>11</v>
      </c>
      <c r="B12" s="1" t="s">
        <v>4</v>
      </c>
      <c r="C12" s="1" t="s">
        <v>12</v>
      </c>
      <c r="D12" s="1" t="s">
        <v>14</v>
      </c>
      <c r="E12" s="1" t="s">
        <v>9</v>
      </c>
      <c r="F12" s="1" t="s">
        <v>11</v>
      </c>
    </row>
    <row r="13" spans="1:6" ht="15.75" thickBot="1" x14ac:dyDescent="0.3">
      <c r="A13" s="1">
        <v>12</v>
      </c>
      <c r="B13" s="1" t="s">
        <v>10</v>
      </c>
      <c r="C13" s="1" t="s">
        <v>12</v>
      </c>
      <c r="D13" s="1" t="s">
        <v>6</v>
      </c>
      <c r="E13" s="1" t="s">
        <v>9</v>
      </c>
      <c r="F13" s="1" t="s">
        <v>11</v>
      </c>
    </row>
    <row r="14" spans="1:6" ht="15.75" thickBot="1" x14ac:dyDescent="0.3">
      <c r="A14" s="1">
        <v>13</v>
      </c>
      <c r="B14" s="1" t="s">
        <v>10</v>
      </c>
      <c r="C14" s="1" t="s">
        <v>5</v>
      </c>
      <c r="D14" s="1" t="s">
        <v>14</v>
      </c>
      <c r="E14" s="1" t="s">
        <v>7</v>
      </c>
      <c r="F14" s="1" t="s">
        <v>11</v>
      </c>
    </row>
    <row r="15" spans="1:6" ht="15.75" thickBot="1" x14ac:dyDescent="0.3">
      <c r="A15" s="1">
        <v>14</v>
      </c>
      <c r="B15" s="1" t="s">
        <v>15</v>
      </c>
      <c r="C15" s="1" t="s">
        <v>12</v>
      </c>
      <c r="D15" s="1" t="s">
        <v>6</v>
      </c>
      <c r="E15" s="1" t="s">
        <v>9</v>
      </c>
      <c r="F15" s="1" t="s">
        <v>8</v>
      </c>
    </row>
    <row r="18" spans="1:4" x14ac:dyDescent="0.25">
      <c r="A18" s="2" t="s">
        <v>20</v>
      </c>
      <c r="B18" s="2" t="s">
        <v>21</v>
      </c>
    </row>
    <row r="19" spans="1:4" x14ac:dyDescent="0.25">
      <c r="A19" s="2" t="s">
        <v>18</v>
      </c>
      <c r="B19" t="s">
        <v>8</v>
      </c>
      <c r="C19" t="s">
        <v>11</v>
      </c>
      <c r="D19" t="s">
        <v>19</v>
      </c>
    </row>
    <row r="20" spans="1:4" x14ac:dyDescent="0.25">
      <c r="A20" s="3" t="s">
        <v>9</v>
      </c>
      <c r="B20" s="4">
        <v>3</v>
      </c>
      <c r="C20" s="4">
        <v>3</v>
      </c>
      <c r="D20" s="4">
        <v>6</v>
      </c>
    </row>
    <row r="21" spans="1:4" x14ac:dyDescent="0.25">
      <c r="A21" s="3" t="s">
        <v>7</v>
      </c>
      <c r="B21" s="4">
        <v>2</v>
      </c>
      <c r="C21" s="4">
        <v>6</v>
      </c>
      <c r="D21" s="4">
        <v>8</v>
      </c>
    </row>
    <row r="22" spans="1:4" x14ac:dyDescent="0.25">
      <c r="A22" s="3" t="s">
        <v>19</v>
      </c>
      <c r="B22" s="4">
        <v>5</v>
      </c>
      <c r="C22" s="4">
        <v>9</v>
      </c>
      <c r="D22" s="4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E9A8B-414C-47DB-A5BF-4E5D8A26FC9B}">
  <dimension ref="D2:L40"/>
  <sheetViews>
    <sheetView topLeftCell="A16" workbookViewId="0">
      <selection activeCell="E39" sqref="E39"/>
    </sheetView>
  </sheetViews>
  <sheetFormatPr defaultRowHeight="15" x14ac:dyDescent="0.25"/>
  <cols>
    <col min="4" max="4" width="18" bestFit="1" customWidth="1"/>
    <col min="5" max="5" width="14" bestFit="1" customWidth="1"/>
    <col min="7" max="7" width="12" bestFit="1" customWidth="1"/>
    <col min="9" max="9" width="12.42578125" bestFit="1" customWidth="1"/>
    <col min="10" max="10" width="12.85546875" bestFit="1" customWidth="1"/>
  </cols>
  <sheetData>
    <row r="2" spans="4:12" x14ac:dyDescent="0.25">
      <c r="D2" t="s">
        <v>1</v>
      </c>
    </row>
    <row r="3" spans="4:12" x14ac:dyDescent="0.25">
      <c r="D3" t="s">
        <v>18</v>
      </c>
      <c r="E3" t="s">
        <v>8</v>
      </c>
      <c r="F3" t="s">
        <v>11</v>
      </c>
      <c r="G3" t="s">
        <v>19</v>
      </c>
      <c r="I3" t="s">
        <v>25</v>
      </c>
      <c r="J3" t="s">
        <v>26</v>
      </c>
      <c r="K3" s="5" t="s">
        <v>27</v>
      </c>
      <c r="L3" s="5"/>
    </row>
    <row r="4" spans="4:12" x14ac:dyDescent="0.25">
      <c r="D4" t="s">
        <v>10</v>
      </c>
      <c r="F4">
        <v>4</v>
      </c>
      <c r="G4">
        <v>4</v>
      </c>
      <c r="I4">
        <f>F4/4</f>
        <v>1</v>
      </c>
      <c r="J4">
        <v>0</v>
      </c>
      <c r="K4" t="s">
        <v>28</v>
      </c>
      <c r="L4" s="6">
        <v>0</v>
      </c>
    </row>
    <row r="5" spans="4:12" x14ac:dyDescent="0.25">
      <c r="D5" t="s">
        <v>15</v>
      </c>
      <c r="E5">
        <v>2</v>
      </c>
      <c r="F5">
        <v>3</v>
      </c>
      <c r="G5">
        <v>5</v>
      </c>
      <c r="I5">
        <f>F5/5</f>
        <v>0.6</v>
      </c>
      <c r="J5">
        <f>E5/5</f>
        <v>0.4</v>
      </c>
      <c r="K5" t="s">
        <v>29</v>
      </c>
      <c r="L5" s="6">
        <f>-I5*LOG(I5,2)-(J5*LOG(J5,2))</f>
        <v>0.97095059445466858</v>
      </c>
    </row>
    <row r="6" spans="4:12" x14ac:dyDescent="0.25">
      <c r="D6" t="s">
        <v>4</v>
      </c>
      <c r="E6">
        <v>3</v>
      </c>
      <c r="F6">
        <v>2</v>
      </c>
      <c r="G6">
        <v>5</v>
      </c>
      <c r="I6">
        <f>F6/5</f>
        <v>0.4</v>
      </c>
      <c r="J6">
        <f>E6/5</f>
        <v>0.6</v>
      </c>
      <c r="K6" t="s">
        <v>30</v>
      </c>
      <c r="L6" s="6">
        <f>-I6*LOG(I6,2)-(J6*LOG(J6,2))</f>
        <v>0.97095059445466858</v>
      </c>
    </row>
    <row r="7" spans="4:12" x14ac:dyDescent="0.25">
      <c r="D7" t="s">
        <v>19</v>
      </c>
      <c r="E7">
        <v>5</v>
      </c>
      <c r="F7">
        <v>9</v>
      </c>
      <c r="G7">
        <v>14</v>
      </c>
    </row>
    <row r="10" spans="4:12" x14ac:dyDescent="0.25">
      <c r="D10" t="s">
        <v>39</v>
      </c>
    </row>
    <row r="11" spans="4:12" x14ac:dyDescent="0.25">
      <c r="D11" t="s">
        <v>18</v>
      </c>
      <c r="E11" t="s">
        <v>8</v>
      </c>
      <c r="F11" t="s">
        <v>11</v>
      </c>
      <c r="G11" t="s">
        <v>19</v>
      </c>
    </row>
    <row r="12" spans="4:12" x14ac:dyDescent="0.25">
      <c r="D12" t="s">
        <v>13</v>
      </c>
      <c r="E12">
        <v>1</v>
      </c>
      <c r="F12">
        <v>3</v>
      </c>
      <c r="G12">
        <v>4</v>
      </c>
      <c r="I12">
        <f>F12/G12</f>
        <v>0.75</v>
      </c>
      <c r="J12">
        <f>E12/G12</f>
        <v>0.25</v>
      </c>
      <c r="K12" t="s">
        <v>32</v>
      </c>
      <c r="L12" s="6">
        <f>-I12*LOG(I12,2)-J12*LOG(J12,2)</f>
        <v>0.81127812445913283</v>
      </c>
    </row>
    <row r="13" spans="4:12" x14ac:dyDescent="0.25">
      <c r="D13" t="s">
        <v>5</v>
      </c>
      <c r="E13">
        <v>2</v>
      </c>
      <c r="F13">
        <v>2</v>
      </c>
      <c r="G13">
        <v>4</v>
      </c>
      <c r="I13">
        <f t="shared" ref="I13:I14" si="0">F13/G13</f>
        <v>0.5</v>
      </c>
      <c r="J13">
        <f t="shared" ref="J13:J14" si="1">E13/G13</f>
        <v>0.5</v>
      </c>
      <c r="K13" t="s">
        <v>33</v>
      </c>
      <c r="L13" s="6">
        <f>-I13*LOG(I13,2)-J13*LOG(J13,2)</f>
        <v>1</v>
      </c>
    </row>
    <row r="14" spans="4:12" x14ac:dyDescent="0.25">
      <c r="D14" t="s">
        <v>12</v>
      </c>
      <c r="E14">
        <v>2</v>
      </c>
      <c r="F14">
        <v>4</v>
      </c>
      <c r="G14">
        <v>6</v>
      </c>
      <c r="I14">
        <f t="shared" si="0"/>
        <v>0.66666666666666663</v>
      </c>
      <c r="J14">
        <f t="shared" si="1"/>
        <v>0.33333333333333331</v>
      </c>
      <c r="K14" t="s">
        <v>34</v>
      </c>
      <c r="L14" s="6">
        <f>-I14*LOG(I14,2)-J14*LOG(J14,2)</f>
        <v>0.91829583405448956</v>
      </c>
    </row>
    <row r="15" spans="4:12" x14ac:dyDescent="0.25">
      <c r="D15" t="s">
        <v>19</v>
      </c>
      <c r="E15">
        <v>5</v>
      </c>
      <c r="F15">
        <v>9</v>
      </c>
      <c r="G15">
        <v>14</v>
      </c>
    </row>
    <row r="18" spans="4:12" x14ac:dyDescent="0.25">
      <c r="D18" t="s">
        <v>16</v>
      </c>
    </row>
    <row r="19" spans="4:12" x14ac:dyDescent="0.25">
      <c r="D19" t="s">
        <v>18</v>
      </c>
      <c r="E19" t="s">
        <v>8</v>
      </c>
      <c r="F19" t="s">
        <v>11</v>
      </c>
      <c r="G19" t="s">
        <v>19</v>
      </c>
    </row>
    <row r="20" spans="4:12" x14ac:dyDescent="0.25">
      <c r="D20" t="s">
        <v>6</v>
      </c>
      <c r="E20">
        <v>4</v>
      </c>
      <c r="F20">
        <v>3</v>
      </c>
      <c r="G20">
        <v>7</v>
      </c>
      <c r="I20">
        <f>F20/G20</f>
        <v>0.42857142857142855</v>
      </c>
      <c r="J20">
        <f>E20/G20</f>
        <v>0.5714285714285714</v>
      </c>
      <c r="K20" t="s">
        <v>36</v>
      </c>
      <c r="L20" s="6">
        <f>-I20*LOG(I20,2)-J20*LOG(J20,2)</f>
        <v>0.98522813603425163</v>
      </c>
    </row>
    <row r="21" spans="4:12" x14ac:dyDescent="0.25">
      <c r="D21" t="s">
        <v>14</v>
      </c>
      <c r="E21">
        <v>1</v>
      </c>
      <c r="F21">
        <v>6</v>
      </c>
      <c r="G21">
        <v>7</v>
      </c>
      <c r="I21">
        <f>F21/G21</f>
        <v>0.8571428571428571</v>
      </c>
      <c r="J21">
        <f>E21/G21</f>
        <v>0.14285714285714285</v>
      </c>
      <c r="K21" t="s">
        <v>37</v>
      </c>
      <c r="L21" s="6">
        <f>-I21*LOG(I21,2)-J21*LOG(J21,2)</f>
        <v>0.59167277858232747</v>
      </c>
    </row>
    <row r="22" spans="4:12" x14ac:dyDescent="0.25">
      <c r="D22" t="s">
        <v>19</v>
      </c>
      <c r="E22">
        <v>5</v>
      </c>
      <c r="F22">
        <v>9</v>
      </c>
      <c r="G22">
        <v>14</v>
      </c>
    </row>
    <row r="24" spans="4:12" x14ac:dyDescent="0.25">
      <c r="D24" t="s">
        <v>2</v>
      </c>
    </row>
    <row r="25" spans="4:12" x14ac:dyDescent="0.25">
      <c r="D25" t="s">
        <v>18</v>
      </c>
      <c r="E25" t="s">
        <v>8</v>
      </c>
      <c r="F25" t="s">
        <v>11</v>
      </c>
      <c r="G25" t="s">
        <v>19</v>
      </c>
    </row>
    <row r="26" spans="4:12" x14ac:dyDescent="0.25">
      <c r="D26" t="s">
        <v>9</v>
      </c>
      <c r="E26">
        <v>3</v>
      </c>
      <c r="F26">
        <v>3</v>
      </c>
      <c r="G26">
        <v>6</v>
      </c>
      <c r="I26">
        <f>F26/G26</f>
        <v>0.5</v>
      </c>
      <c r="J26">
        <f>E26/G26</f>
        <v>0.5</v>
      </c>
      <c r="K26" t="s">
        <v>40</v>
      </c>
      <c r="L26" s="6">
        <f>-I26*LOG(I26,2)-J26*LOG(J26,2)</f>
        <v>1</v>
      </c>
    </row>
    <row r="27" spans="4:12" x14ac:dyDescent="0.25">
      <c r="D27" t="s">
        <v>7</v>
      </c>
      <c r="E27">
        <v>2</v>
      </c>
      <c r="F27">
        <v>6</v>
      </c>
      <c r="G27">
        <v>8</v>
      </c>
      <c r="I27">
        <f>F27/G27</f>
        <v>0.75</v>
      </c>
      <c r="J27">
        <f>E27/G27</f>
        <v>0.25</v>
      </c>
      <c r="K27" t="s">
        <v>41</v>
      </c>
      <c r="L27" s="6">
        <f>-I27*LOG(I27,2)-J27*LOG(J27,2)</f>
        <v>0.81127812445913283</v>
      </c>
    </row>
    <row r="28" spans="4:12" x14ac:dyDescent="0.25">
      <c r="D28" t="s">
        <v>19</v>
      </c>
      <c r="E28">
        <v>5</v>
      </c>
      <c r="F28">
        <v>9</v>
      </c>
      <c r="G28">
        <v>14</v>
      </c>
    </row>
    <row r="30" spans="4:12" x14ac:dyDescent="0.25">
      <c r="D30" t="s">
        <v>1</v>
      </c>
    </row>
    <row r="31" spans="4:12" x14ac:dyDescent="0.25">
      <c r="D31" t="s">
        <v>22</v>
      </c>
      <c r="E31">
        <v>9</v>
      </c>
      <c r="G31">
        <f>9/14</f>
        <v>0.6428571428571429</v>
      </c>
    </row>
    <row r="32" spans="4:12" x14ac:dyDescent="0.25">
      <c r="D32" t="s">
        <v>23</v>
      </c>
      <c r="E32">
        <v>5</v>
      </c>
      <c r="G32">
        <f>5/14</f>
        <v>0.35714285714285715</v>
      </c>
    </row>
    <row r="34" spans="4:7" x14ac:dyDescent="0.25">
      <c r="F34" s="6" t="s">
        <v>24</v>
      </c>
      <c r="G34" s="6">
        <f>-G31*LOG(G31,2)-(G32*LOG(G32,2))</f>
        <v>0.94028595867063092</v>
      </c>
    </row>
    <row r="37" spans="4:7" x14ac:dyDescent="0.25">
      <c r="D37" s="7" t="s">
        <v>31</v>
      </c>
      <c r="E37" s="8">
        <f>G34-(F4/14*L4)-(G5/G7)*L5-(G6/14)*L6</f>
        <v>0.24674981977443911</v>
      </c>
    </row>
    <row r="38" spans="4:7" x14ac:dyDescent="0.25">
      <c r="D38" s="7" t="s">
        <v>35</v>
      </c>
      <c r="E38" s="8">
        <f>G34-((G12/G15)*L12)-((G13/G15)*L13)-((G14/G15)*L14)</f>
        <v>2.9222565658954647E-2</v>
      </c>
    </row>
    <row r="39" spans="4:7" x14ac:dyDescent="0.25">
      <c r="D39" s="7" t="s">
        <v>38</v>
      </c>
      <c r="E39" s="8">
        <f>G34-((G20/G22)*L20)-((G21/G22)*L21)</f>
        <v>0.15183550136234136</v>
      </c>
    </row>
    <row r="40" spans="4:7" x14ac:dyDescent="0.25">
      <c r="D40" s="7" t="s">
        <v>42</v>
      </c>
      <c r="E40" s="8">
        <f>G34-((G26/G28)*L26)-((G27/G28)*L27)</f>
        <v>4.8127030408269267E-2</v>
      </c>
    </row>
  </sheetData>
  <mergeCells count="1"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decisiontree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Sukesan</dc:creator>
  <cp:lastModifiedBy>Sunil Kumar Sukesan</cp:lastModifiedBy>
  <dcterms:created xsi:type="dcterms:W3CDTF">2026-01-24T10:43:05Z</dcterms:created>
  <dcterms:modified xsi:type="dcterms:W3CDTF">2026-01-24T12:23:02Z</dcterms:modified>
</cp:coreProperties>
</file>